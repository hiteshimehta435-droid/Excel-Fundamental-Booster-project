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7755"/>
  </bookViews>
  <sheets>
    <sheet name="Students Grade" sheetId="1" r:id="rId1"/>
    <sheet name="Sales Data" sheetId="2" r:id="rId2"/>
    <sheet name="Employee Data" sheetId="3" r:id="rId3"/>
  </sheets>
  <calcPr calcId="152511"/>
</workbook>
</file>

<file path=xl/calcChain.xml><?xml version="1.0" encoding="utf-8"?>
<calcChain xmlns="http://schemas.openxmlformats.org/spreadsheetml/2006/main">
  <c r="J21" i="3" l="1"/>
  <c r="H21" i="3"/>
  <c r="J20" i="3"/>
  <c r="H20" i="3"/>
  <c r="J19" i="3"/>
  <c r="H19" i="3"/>
  <c r="J18" i="3"/>
  <c r="H18" i="3"/>
  <c r="J17" i="3"/>
  <c r="H17" i="3"/>
  <c r="J16" i="3"/>
  <c r="H16" i="3"/>
  <c r="J15" i="3"/>
  <c r="H15" i="3"/>
  <c r="J14" i="3"/>
  <c r="H14" i="3"/>
  <c r="J13" i="3"/>
  <c r="H13" i="3"/>
  <c r="J12" i="3"/>
  <c r="H12" i="3"/>
  <c r="J11" i="3"/>
  <c r="H11" i="3"/>
  <c r="J10" i="3"/>
  <c r="H10" i="3"/>
  <c r="J9" i="3"/>
  <c r="H9" i="3"/>
  <c r="J8" i="3"/>
  <c r="H8" i="3"/>
  <c r="J7" i="3"/>
  <c r="H7" i="3"/>
  <c r="J6" i="3"/>
  <c r="H6" i="3"/>
  <c r="J5" i="3"/>
  <c r="H5" i="3"/>
  <c r="J4" i="3"/>
  <c r="H4" i="3"/>
  <c r="J3" i="3"/>
  <c r="H3" i="3"/>
  <c r="J2" i="3"/>
  <c r="H2" i="3"/>
  <c r="J21" i="2"/>
  <c r="H21" i="2"/>
  <c r="G21" i="2"/>
  <c r="J20" i="2"/>
  <c r="H20" i="2"/>
  <c r="G20" i="2"/>
  <c r="J19" i="2"/>
  <c r="H19" i="2"/>
  <c r="G19" i="2"/>
  <c r="J18" i="2"/>
  <c r="H18" i="2"/>
  <c r="G18" i="2"/>
  <c r="J17" i="2"/>
  <c r="H17" i="2"/>
  <c r="G17" i="2"/>
  <c r="J16" i="2"/>
  <c r="H16" i="2"/>
  <c r="G16" i="2"/>
  <c r="J15" i="2"/>
  <c r="H15" i="2"/>
  <c r="G15" i="2"/>
  <c r="J14" i="2"/>
  <c r="H14" i="2"/>
  <c r="G14" i="2"/>
  <c r="J13" i="2"/>
  <c r="H13" i="2"/>
  <c r="G13" i="2"/>
  <c r="J12" i="2"/>
  <c r="H12" i="2"/>
  <c r="G12" i="2"/>
  <c r="J11" i="2"/>
  <c r="H11" i="2"/>
  <c r="G11" i="2"/>
  <c r="J10" i="2"/>
  <c r="H10" i="2"/>
  <c r="G10" i="2"/>
  <c r="J9" i="2"/>
  <c r="H9" i="2"/>
  <c r="G9" i="2"/>
  <c r="J8" i="2"/>
  <c r="H8" i="2"/>
  <c r="G8" i="2"/>
  <c r="J7" i="2"/>
  <c r="H7" i="2"/>
  <c r="G7" i="2"/>
  <c r="J6" i="2"/>
  <c r="H6" i="2"/>
  <c r="G6" i="2"/>
  <c r="J5" i="2"/>
  <c r="H5" i="2"/>
  <c r="G5" i="2"/>
  <c r="J4" i="2"/>
  <c r="H4" i="2"/>
  <c r="G4" i="2"/>
  <c r="J3" i="2"/>
  <c r="H3" i="2"/>
  <c r="G3" i="2"/>
  <c r="J2" i="2"/>
  <c r="H2" i="2"/>
  <c r="G2" i="2"/>
  <c r="N21" i="1"/>
  <c r="L21" i="1"/>
  <c r="K21" i="1"/>
  <c r="J21" i="1"/>
  <c r="I21" i="1"/>
  <c r="M21" i="1" s="1"/>
  <c r="H21" i="1"/>
  <c r="G21" i="1"/>
  <c r="N20" i="1"/>
  <c r="L20" i="1"/>
  <c r="K20" i="1"/>
  <c r="J20" i="1"/>
  <c r="I20" i="1"/>
  <c r="M20" i="1" s="1"/>
  <c r="H20" i="1"/>
  <c r="G20" i="1"/>
  <c r="N19" i="1"/>
  <c r="L19" i="1"/>
  <c r="K19" i="1"/>
  <c r="J19" i="1"/>
  <c r="I19" i="1"/>
  <c r="M19" i="1" s="1"/>
  <c r="H19" i="1"/>
  <c r="G19" i="1"/>
  <c r="N18" i="1"/>
  <c r="L18" i="1"/>
  <c r="K18" i="1"/>
  <c r="J18" i="1"/>
  <c r="I18" i="1"/>
  <c r="M18" i="1" s="1"/>
  <c r="H18" i="1"/>
  <c r="G18" i="1"/>
  <c r="N17" i="1"/>
  <c r="L17" i="1"/>
  <c r="K17" i="1"/>
  <c r="J17" i="1"/>
  <c r="I17" i="1"/>
  <c r="M17" i="1" s="1"/>
  <c r="H17" i="1"/>
  <c r="G17" i="1"/>
  <c r="N16" i="1"/>
  <c r="L16" i="1"/>
  <c r="K16" i="1"/>
  <c r="J16" i="1"/>
  <c r="I16" i="1"/>
  <c r="M16" i="1" s="1"/>
  <c r="H16" i="1"/>
  <c r="G16" i="1"/>
  <c r="N15" i="1"/>
  <c r="L15" i="1"/>
  <c r="K15" i="1"/>
  <c r="J15" i="1"/>
  <c r="I15" i="1"/>
  <c r="M15" i="1" s="1"/>
  <c r="H15" i="1"/>
  <c r="G15" i="1"/>
  <c r="N14" i="1"/>
  <c r="L14" i="1"/>
  <c r="K14" i="1"/>
  <c r="J14" i="1"/>
  <c r="I14" i="1"/>
  <c r="M14" i="1" s="1"/>
  <c r="H14" i="1"/>
  <c r="G14" i="1"/>
  <c r="N13" i="1"/>
  <c r="L13" i="1"/>
  <c r="K13" i="1"/>
  <c r="J13" i="1"/>
  <c r="I13" i="1"/>
  <c r="M13" i="1" s="1"/>
  <c r="H13" i="1"/>
  <c r="G13" i="1"/>
  <c r="N12" i="1"/>
  <c r="L12" i="1"/>
  <c r="K12" i="1"/>
  <c r="J12" i="1"/>
  <c r="I12" i="1"/>
  <c r="M12" i="1" s="1"/>
  <c r="H12" i="1"/>
  <c r="G12" i="1"/>
  <c r="N11" i="1"/>
  <c r="L11" i="1"/>
  <c r="K11" i="1"/>
  <c r="J11" i="1"/>
  <c r="I11" i="1"/>
  <c r="M11" i="1" s="1"/>
  <c r="H11" i="1"/>
  <c r="G11" i="1"/>
  <c r="N10" i="1"/>
  <c r="L10" i="1"/>
  <c r="K10" i="1"/>
  <c r="J10" i="1"/>
  <c r="I10" i="1"/>
  <c r="M10" i="1" s="1"/>
  <c r="H10" i="1"/>
  <c r="G10" i="1"/>
  <c r="N9" i="1"/>
  <c r="L9" i="1"/>
  <c r="K9" i="1"/>
  <c r="J9" i="1"/>
  <c r="I9" i="1"/>
  <c r="M9" i="1" s="1"/>
  <c r="H9" i="1"/>
  <c r="G9" i="1"/>
  <c r="N8" i="1"/>
  <c r="L8" i="1"/>
  <c r="K8" i="1"/>
  <c r="J8" i="1"/>
  <c r="I8" i="1"/>
  <c r="M8" i="1" s="1"/>
  <c r="H8" i="1"/>
  <c r="G8" i="1"/>
  <c r="N7" i="1"/>
  <c r="L7" i="1"/>
  <c r="K7" i="1"/>
  <c r="J7" i="1"/>
  <c r="I7" i="1"/>
  <c r="M7" i="1" s="1"/>
  <c r="H7" i="1"/>
  <c r="G7" i="1"/>
  <c r="N6" i="1"/>
  <c r="L6" i="1"/>
  <c r="K6" i="1"/>
  <c r="J6" i="1"/>
  <c r="I6" i="1"/>
  <c r="M6" i="1" s="1"/>
  <c r="H6" i="1"/>
  <c r="G6" i="1"/>
  <c r="N5" i="1"/>
  <c r="L5" i="1"/>
  <c r="K5" i="1"/>
  <c r="J5" i="1"/>
  <c r="I5" i="1"/>
  <c r="M5" i="1" s="1"/>
  <c r="H5" i="1"/>
  <c r="G5" i="1"/>
  <c r="N4" i="1"/>
  <c r="L4" i="1"/>
  <c r="K4" i="1"/>
  <c r="J4" i="1"/>
  <c r="I4" i="1"/>
  <c r="M4" i="1" s="1"/>
  <c r="H4" i="1"/>
  <c r="G4" i="1"/>
  <c r="N3" i="1"/>
  <c r="L3" i="1"/>
  <c r="K3" i="1"/>
  <c r="J3" i="1"/>
  <c r="I3" i="1"/>
  <c r="M3" i="1" s="1"/>
  <c r="H3" i="1"/>
  <c r="G3" i="1"/>
  <c r="N2" i="1"/>
  <c r="L2" i="1"/>
  <c r="K2" i="1"/>
  <c r="J2" i="1"/>
  <c r="I2" i="1"/>
  <c r="M2" i="1" s="1"/>
  <c r="H2" i="1"/>
  <c r="G2" i="1"/>
  <c r="I20" i="3"/>
  <c r="I16" i="3"/>
  <c r="I12" i="3"/>
  <c r="I8" i="3"/>
  <c r="I4" i="3"/>
  <c r="I21" i="3"/>
  <c r="I17" i="3"/>
  <c r="I13" i="3"/>
  <c r="I9" i="3"/>
  <c r="I5" i="3"/>
  <c r="I18" i="3"/>
  <c r="I14" i="3"/>
  <c r="I10" i="3"/>
  <c r="I6" i="3"/>
  <c r="I2" i="3"/>
  <c r="I19" i="3"/>
  <c r="I15" i="3"/>
  <c r="I11" i="3"/>
  <c r="I7" i="3"/>
  <c r="I3" i="3"/>
</calcChain>
</file>

<file path=xl/sharedStrings.xml><?xml version="1.0" encoding="utf-8"?>
<sst xmlns="http://schemas.openxmlformats.org/spreadsheetml/2006/main" count="188" uniqueCount="126">
  <si>
    <t>Sales ID</t>
  </si>
  <si>
    <t>Student ID</t>
  </si>
  <si>
    <t>Employee ID</t>
  </si>
  <si>
    <t>Product</t>
  </si>
  <si>
    <t>Name</t>
  </si>
  <si>
    <t>Math</t>
  </si>
  <si>
    <t>Region</t>
  </si>
  <si>
    <t>Science</t>
  </si>
  <si>
    <t>Salesperson</t>
  </si>
  <si>
    <t>English</t>
  </si>
  <si>
    <t>Amount</t>
  </si>
  <si>
    <t>Enrollment Date</t>
  </si>
  <si>
    <t>Date</t>
  </si>
  <si>
    <t>SUMIFS</t>
  </si>
  <si>
    <t xml:space="preserve">    IF Formula </t>
  </si>
  <si>
    <t>Department</t>
  </si>
  <si>
    <t>IF + OR</t>
  </si>
  <si>
    <t>Absolute</t>
  </si>
  <si>
    <t>Salary</t>
  </si>
  <si>
    <t>Joining Date</t>
  </si>
  <si>
    <t>COUNTIFS</t>
  </si>
  <si>
    <t>AVERAGEIFS</t>
  </si>
  <si>
    <t>VLLOKUP</t>
  </si>
  <si>
    <t>IF + AND</t>
  </si>
  <si>
    <t>UPPER</t>
  </si>
  <si>
    <t>LOWER</t>
  </si>
  <si>
    <t>ROUND</t>
  </si>
  <si>
    <t>Relative</t>
  </si>
  <si>
    <t>xlookup</t>
  </si>
  <si>
    <t>INDEX + MATCH</t>
  </si>
  <si>
    <t>Student 1</t>
  </si>
  <si>
    <t>Keyboard</t>
  </si>
  <si>
    <t>South</t>
  </si>
  <si>
    <t>Person 1</t>
  </si>
  <si>
    <t>Employee 1</t>
  </si>
  <si>
    <t>Finance</t>
  </si>
  <si>
    <t>Employee 2</t>
  </si>
  <si>
    <t>Employee 3</t>
  </si>
  <si>
    <t>HR</t>
  </si>
  <si>
    <t>Employee 4</t>
  </si>
  <si>
    <t>Printer</t>
  </si>
  <si>
    <t>West</t>
  </si>
  <si>
    <t>Person 2</t>
  </si>
  <si>
    <t>Employee 5</t>
  </si>
  <si>
    <t>IT</t>
  </si>
  <si>
    <t>Student 2</t>
  </si>
  <si>
    <t>Employee 6</t>
  </si>
  <si>
    <t>Mouse</t>
  </si>
  <si>
    <t>Person 3</t>
  </si>
  <si>
    <t>Employee 7</t>
  </si>
  <si>
    <t>Marketing</t>
  </si>
  <si>
    <t>East</t>
  </si>
  <si>
    <t>Person 4</t>
  </si>
  <si>
    <t>Student 3</t>
  </si>
  <si>
    <t>North</t>
  </si>
  <si>
    <t>Person 5</t>
  </si>
  <si>
    <t>Employee 8</t>
  </si>
  <si>
    <t>Person 6</t>
  </si>
  <si>
    <t>Employee 9</t>
  </si>
  <si>
    <t>Student 4</t>
  </si>
  <si>
    <t>Employee 10</t>
  </si>
  <si>
    <t>Person 7</t>
  </si>
  <si>
    <t>Employee 11</t>
  </si>
  <si>
    <t>Person 8</t>
  </si>
  <si>
    <t>Student 5</t>
  </si>
  <si>
    <t>Person 9</t>
  </si>
  <si>
    <t>Person 10</t>
  </si>
  <si>
    <t>Student 6</t>
  </si>
  <si>
    <t>Employee 12</t>
  </si>
  <si>
    <t>Person 11</t>
  </si>
  <si>
    <t>Employee 13</t>
  </si>
  <si>
    <t>Monitor</t>
  </si>
  <si>
    <t>Student 7</t>
  </si>
  <si>
    <t>Person 12</t>
  </si>
  <si>
    <t>Employee 14</t>
  </si>
  <si>
    <t>Employee 15</t>
  </si>
  <si>
    <t>Laptop</t>
  </si>
  <si>
    <t>Person 13</t>
  </si>
  <si>
    <t>Employee 16</t>
  </si>
  <si>
    <t>Person 14</t>
  </si>
  <si>
    <t>Employee 17</t>
  </si>
  <si>
    <t>Student 8</t>
  </si>
  <si>
    <t>Person 15</t>
  </si>
  <si>
    <t>Employee 18</t>
  </si>
  <si>
    <t>Person 16</t>
  </si>
  <si>
    <t>Employee 19</t>
  </si>
  <si>
    <t>Student 9</t>
  </si>
  <si>
    <t>Person 17</t>
  </si>
  <si>
    <t>Employee 20</t>
  </si>
  <si>
    <t>Student 10</t>
  </si>
  <si>
    <t>Person 18</t>
  </si>
  <si>
    <t xml:space="preserve">                                                Formula Cheat Sheet</t>
  </si>
  <si>
    <t>Person 19</t>
  </si>
  <si>
    <t>Student 11</t>
  </si>
  <si>
    <t>Person 20</t>
  </si>
  <si>
    <t xml:space="preserve">                       Topic</t>
  </si>
  <si>
    <t xml:space="preserve">                                 Formula</t>
  </si>
  <si>
    <t>VLOOKUP</t>
  </si>
  <si>
    <t>Student 12</t>
  </si>
  <si>
    <t xml:space="preserve"> =VLOOKUP(G2,A2:E21,2,FALSE)</t>
  </si>
  <si>
    <t>XLOOKUP</t>
  </si>
  <si>
    <t>Student 13</t>
  </si>
  <si>
    <t xml:space="preserve"> =XLOOKUP(G2,A2:A21,D2:D21,"Not Found") </t>
  </si>
  <si>
    <t>INDEX/MATCH</t>
  </si>
  <si>
    <t xml:space="preserve"> =INDEX(D2:D21,MATCH(G2,A2:A21,0))</t>
  </si>
  <si>
    <t xml:space="preserve"> =SUMIFS(E2:E21,B2:B21,"Keyboard")</t>
  </si>
  <si>
    <t>Student 14</t>
  </si>
  <si>
    <t xml:space="preserve"> =IF(OR(E2&gt;10000,C2="South"),"Eligible","Not Eligible")</t>
  </si>
  <si>
    <t>Absolute Reference</t>
  </si>
  <si>
    <t xml:space="preserve"> =A2*$H$1</t>
  </si>
  <si>
    <t>Student 15</t>
  </si>
  <si>
    <t>Student 16</t>
  </si>
  <si>
    <t>Student 17</t>
  </si>
  <si>
    <t>Student 18</t>
  </si>
  <si>
    <t>Student 19</t>
  </si>
  <si>
    <t>Student 20</t>
  </si>
  <si>
    <t>IF</t>
  </si>
  <si>
    <t xml:space="preserve"> =IF(C2&gt;=80,"A","B")</t>
  </si>
  <si>
    <t xml:space="preserve"> =COUNTIFS(C2:C21,"&gt;50")</t>
  </si>
  <si>
    <t xml:space="preserve"> =AVERAGEIFS(C2:C21,C2:C21,"&gt;60")</t>
  </si>
  <si>
    <t xml:space="preserve"> =IF(AND(C2&gt;80,D2&gt;80),"Yes","No")</t>
  </si>
  <si>
    <t xml:space="preserve"> =UPPER(A2) </t>
  </si>
  <si>
    <t xml:space="preserve"> =LOWER(A2)</t>
  </si>
  <si>
    <t xml:space="preserve"> =ROUND(A2,2)</t>
  </si>
  <si>
    <t>Relative Reference</t>
  </si>
  <si>
    <t xml:space="preserve"> =A2*B2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</si>
</sst>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:mm:ss"/>
  </numFmts>
  <fonts count="6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b/>
      <sz val="10"/>
      <color theme="1"/>
      <name val="Arial"/>
      <scheme val="minor"/>
    </font>
    <font>
      <sz val="10"/>
      <name val="Arial"/>
    </font>
    <font>
      <sz val="11"/>
      <color rgb="FF000000"/>
      <name val="Calibri"/>
    </font>
    <font>
      <sz val="10"/>
      <color theme="1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9" fontId="5" fillId="3" borderId="1" xfId="0" applyNumberFormat="1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2" fillId="6" borderId="2" xfId="0" applyFont="1" applyFill="1" applyBorder="1" applyAlignment="1"/>
    <xf numFmtId="0" fontId="3" fillId="0" borderId="4" xfId="0" applyFont="1" applyBorder="1"/>
    <xf numFmtId="0" fontId="3" fillId="0" borderId="3" xfId="0" applyFont="1" applyBorder="1"/>
    <xf numFmtId="0" fontId="5" fillId="0" borderId="5" xfId="0" applyFont="1" applyBorder="1" applyAlignment="1"/>
    <xf numFmtId="0" fontId="3" fillId="0" borderId="6" xfId="0" applyFont="1" applyBorder="1"/>
    <xf numFmtId="0" fontId="3" fillId="0" borderId="7" xfId="0" applyFont="1" applyBorder="1"/>
    <xf numFmtId="0" fontId="2" fillId="0" borderId="2" xfId="0" applyFont="1" applyBorder="1" applyAlignment="1"/>
    <xf numFmtId="0" fontId="5" fillId="0" borderId="8" xfId="0" applyFont="1" applyBorder="1" applyAlignment="1"/>
    <xf numFmtId="0" fontId="3" fillId="0" borderId="9" xfId="0" applyFont="1" applyBorder="1"/>
    <xf numFmtId="0" fontId="0" fillId="0" borderId="0" xfId="0" applyFont="1" applyAlignment="1"/>
    <xf numFmtId="0" fontId="5" fillId="0" borderId="10" xfId="0" applyFont="1" applyBorder="1" applyAlignment="1"/>
    <xf numFmtId="0" fontId="3" fillId="0" borderId="11" xfId="0" applyFont="1" applyBorder="1"/>
    <xf numFmtId="0" fontId="5" fillId="0" borderId="0" xfId="0" applyFont="1" applyAlignment="1"/>
    <xf numFmtId="0" fontId="3" fillId="0" borderId="12" xfId="0" applyFont="1" applyBorder="1"/>
    <xf numFmtId="0" fontId="1" fillId="2" borderId="2" xfId="0" applyFont="1" applyFill="1" applyBorder="1" applyAlignment="1">
      <alignment horizontal="center"/>
    </xf>
    <xf numFmtId="0" fontId="2" fillId="5" borderId="2" xfId="0" applyFont="1" applyFill="1" applyBorder="1" applyAlignment="1"/>
    <xf numFmtId="0" fontId="2" fillId="4" borderId="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3"/>
  <sheetViews>
    <sheetView tabSelected="1" workbookViewId="0">
      <selection activeCell="F31" sqref="F31"/>
    </sheetView>
  </sheetViews>
  <sheetFormatPr defaultColWidth="12.5703125" defaultRowHeight="15.75" customHeight="1" x14ac:dyDescent="0.2"/>
  <cols>
    <col min="1" max="1" width="14.140625" customWidth="1"/>
    <col min="6" max="6" width="18.5703125" customWidth="1"/>
    <col min="10" max="10" width="19.5703125" customWidth="1"/>
  </cols>
  <sheetData>
    <row r="1" spans="1:14" ht="15.75" customHeight="1" x14ac:dyDescent="0.25">
      <c r="A1" s="2" t="s">
        <v>1</v>
      </c>
      <c r="B1" s="2" t="s">
        <v>4</v>
      </c>
      <c r="C1" s="2" t="s">
        <v>5</v>
      </c>
      <c r="D1" s="2" t="s">
        <v>7</v>
      </c>
      <c r="E1" s="2" t="s">
        <v>9</v>
      </c>
      <c r="F1" s="2" t="s">
        <v>11</v>
      </c>
      <c r="G1" s="3" t="s">
        <v>14</v>
      </c>
      <c r="H1" s="3" t="s">
        <v>20</v>
      </c>
      <c r="I1" s="3" t="s">
        <v>21</v>
      </c>
      <c r="J1" s="2" t="s">
        <v>23</v>
      </c>
      <c r="K1" s="3" t="s">
        <v>24</v>
      </c>
      <c r="L1" s="3" t="s">
        <v>25</v>
      </c>
      <c r="M1" s="3" t="s">
        <v>26</v>
      </c>
      <c r="N1" s="3" t="s">
        <v>27</v>
      </c>
    </row>
    <row r="2" spans="1:14" ht="15.75" customHeight="1" x14ac:dyDescent="0.25">
      <c r="A2" s="4">
        <v>1001</v>
      </c>
      <c r="B2" s="4" t="s">
        <v>30</v>
      </c>
      <c r="C2" s="4">
        <v>61</v>
      </c>
      <c r="D2" s="4">
        <v>48</v>
      </c>
      <c r="E2" s="4">
        <v>76</v>
      </c>
      <c r="F2" s="6">
        <v>43101</v>
      </c>
      <c r="G2" s="8" t="str">
        <f t="shared" ref="G2:G21" si="0">IF(C2&gt;=80,"A",IF(C2&gt;=60,"B",IF(C2&gt;=40,"C","F")))</f>
        <v>B</v>
      </c>
      <c r="H2" s="8">
        <f t="shared" ref="H2:H21" si="1">COUNTIFS(C2:C21,"&gt;50")</f>
        <v>19</v>
      </c>
      <c r="I2" s="8">
        <f t="shared" ref="I2:I21" si="2">AVERAGEIFS(C2:C21,C2:C21,"&gt;60")</f>
        <v>82.263157894736835</v>
      </c>
      <c r="J2" s="8" t="str">
        <f t="shared" ref="J2:J21" si="3">IF(AND(C2&gt;80,D2&gt;80),"Yes","No")</f>
        <v>No</v>
      </c>
      <c r="K2" s="8" t="str">
        <f t="shared" ref="K2:K21" si="4">UPPER(B2)</f>
        <v>STUDENT 1</v>
      </c>
      <c r="L2" s="8" t="str">
        <f t="shared" ref="L2:L21" si="5">LOWER(B2)</f>
        <v>student 1</v>
      </c>
      <c r="M2" s="8">
        <f t="shared" ref="M2:M21" si="6">ROUND(I2,2)</f>
        <v>82.26</v>
      </c>
      <c r="N2" s="8">
        <f t="shared" ref="N2:N21" si="7">C2*D2*E2</f>
        <v>222528</v>
      </c>
    </row>
    <row r="3" spans="1:14" ht="15.75" customHeight="1" x14ac:dyDescent="0.25">
      <c r="A3" s="4">
        <v>1002</v>
      </c>
      <c r="B3" s="4" t="s">
        <v>45</v>
      </c>
      <c r="C3" s="4">
        <v>78</v>
      </c>
      <c r="D3" s="4">
        <v>76</v>
      </c>
      <c r="E3" s="4">
        <v>70</v>
      </c>
      <c r="F3" s="6">
        <v>43281</v>
      </c>
      <c r="G3" s="8" t="str">
        <f t="shared" si="0"/>
        <v>B</v>
      </c>
      <c r="H3" s="8">
        <f t="shared" si="1"/>
        <v>18</v>
      </c>
      <c r="I3" s="8">
        <f t="shared" si="2"/>
        <v>83.444444444444443</v>
      </c>
      <c r="J3" s="8" t="str">
        <f t="shared" si="3"/>
        <v>No</v>
      </c>
      <c r="K3" s="8" t="str">
        <f t="shared" si="4"/>
        <v>STUDENT 2</v>
      </c>
      <c r="L3" s="8" t="str">
        <f t="shared" si="5"/>
        <v>student 2</v>
      </c>
      <c r="M3" s="8">
        <f t="shared" si="6"/>
        <v>83.44</v>
      </c>
      <c r="N3" s="8">
        <f t="shared" si="7"/>
        <v>414960</v>
      </c>
    </row>
    <row r="4" spans="1:14" ht="15.75" customHeight="1" x14ac:dyDescent="0.25">
      <c r="A4" s="4">
        <v>1003</v>
      </c>
      <c r="B4" s="4" t="s">
        <v>53</v>
      </c>
      <c r="C4" s="4">
        <v>97</v>
      </c>
      <c r="D4" s="4">
        <v>60</v>
      </c>
      <c r="E4" s="4">
        <v>51</v>
      </c>
      <c r="F4" s="6">
        <v>43461</v>
      </c>
      <c r="G4" s="8" t="str">
        <f t="shared" si="0"/>
        <v>A</v>
      </c>
      <c r="H4" s="8">
        <f t="shared" si="1"/>
        <v>17</v>
      </c>
      <c r="I4" s="8">
        <f t="shared" si="2"/>
        <v>83.764705882352942</v>
      </c>
      <c r="J4" s="8" t="str">
        <f t="shared" si="3"/>
        <v>No</v>
      </c>
      <c r="K4" s="8" t="str">
        <f t="shared" si="4"/>
        <v>STUDENT 3</v>
      </c>
      <c r="L4" s="8" t="str">
        <f t="shared" si="5"/>
        <v>student 3</v>
      </c>
      <c r="M4" s="8">
        <f t="shared" si="6"/>
        <v>83.76</v>
      </c>
      <c r="N4" s="8">
        <f t="shared" si="7"/>
        <v>296820</v>
      </c>
    </row>
    <row r="5" spans="1:14" ht="15.75" customHeight="1" x14ac:dyDescent="0.25">
      <c r="A5" s="4">
        <v>1004</v>
      </c>
      <c r="B5" s="4" t="s">
        <v>59</v>
      </c>
      <c r="C5" s="4">
        <v>74</v>
      </c>
      <c r="D5" s="4">
        <v>55</v>
      </c>
      <c r="E5" s="4">
        <v>46</v>
      </c>
      <c r="F5" s="6">
        <v>43641</v>
      </c>
      <c r="G5" s="8" t="str">
        <f t="shared" si="0"/>
        <v>B</v>
      </c>
      <c r="H5" s="8">
        <f t="shared" si="1"/>
        <v>16</v>
      </c>
      <c r="I5" s="8">
        <f t="shared" si="2"/>
        <v>82.9375</v>
      </c>
      <c r="J5" s="8" t="str">
        <f t="shared" si="3"/>
        <v>No</v>
      </c>
      <c r="K5" s="8" t="str">
        <f t="shared" si="4"/>
        <v>STUDENT 4</v>
      </c>
      <c r="L5" s="8" t="str">
        <f t="shared" si="5"/>
        <v>student 4</v>
      </c>
      <c r="M5" s="8">
        <f t="shared" si="6"/>
        <v>82.94</v>
      </c>
      <c r="N5" s="8">
        <f t="shared" si="7"/>
        <v>187220</v>
      </c>
    </row>
    <row r="6" spans="1:14" ht="15.75" customHeight="1" x14ac:dyDescent="0.25">
      <c r="A6" s="4">
        <v>1005</v>
      </c>
      <c r="B6" s="4" t="s">
        <v>64</v>
      </c>
      <c r="C6" s="4">
        <v>68</v>
      </c>
      <c r="D6" s="4">
        <v>74</v>
      </c>
      <c r="E6" s="4">
        <v>84</v>
      </c>
      <c r="F6" s="6">
        <v>43821</v>
      </c>
      <c r="G6" s="8" t="str">
        <f t="shared" si="0"/>
        <v>B</v>
      </c>
      <c r="H6" s="8">
        <f t="shared" si="1"/>
        <v>15</v>
      </c>
      <c r="I6" s="8">
        <f t="shared" si="2"/>
        <v>83.533333333333331</v>
      </c>
      <c r="J6" s="8" t="str">
        <f t="shared" si="3"/>
        <v>No</v>
      </c>
      <c r="K6" s="8" t="str">
        <f t="shared" si="4"/>
        <v>STUDENT 5</v>
      </c>
      <c r="L6" s="8" t="str">
        <f t="shared" si="5"/>
        <v>student 5</v>
      </c>
      <c r="M6" s="8">
        <f t="shared" si="6"/>
        <v>83.53</v>
      </c>
      <c r="N6" s="8">
        <f t="shared" si="7"/>
        <v>422688</v>
      </c>
    </row>
    <row r="7" spans="1:14" ht="15.75" customHeight="1" x14ac:dyDescent="0.25">
      <c r="A7" s="4">
        <v>1006</v>
      </c>
      <c r="B7" s="4" t="s">
        <v>67</v>
      </c>
      <c r="C7" s="4">
        <v>80</v>
      </c>
      <c r="D7" s="4">
        <v>70</v>
      </c>
      <c r="E7" s="4">
        <v>65</v>
      </c>
      <c r="F7" s="6">
        <v>44001</v>
      </c>
      <c r="G7" s="8" t="str">
        <f t="shared" si="0"/>
        <v>A</v>
      </c>
      <c r="H7" s="8">
        <f t="shared" si="1"/>
        <v>14</v>
      </c>
      <c r="I7" s="8">
        <f t="shared" si="2"/>
        <v>84.642857142857139</v>
      </c>
      <c r="J7" s="8" t="str">
        <f t="shared" si="3"/>
        <v>No</v>
      </c>
      <c r="K7" s="8" t="str">
        <f t="shared" si="4"/>
        <v>STUDENT 6</v>
      </c>
      <c r="L7" s="8" t="str">
        <f t="shared" si="5"/>
        <v>student 6</v>
      </c>
      <c r="M7" s="8">
        <f t="shared" si="6"/>
        <v>84.64</v>
      </c>
      <c r="N7" s="8">
        <f t="shared" si="7"/>
        <v>364000</v>
      </c>
    </row>
    <row r="8" spans="1:14" ht="15.75" customHeight="1" x14ac:dyDescent="0.25">
      <c r="A8" s="4">
        <v>1007</v>
      </c>
      <c r="B8" s="4" t="s">
        <v>72</v>
      </c>
      <c r="C8" s="4">
        <v>75</v>
      </c>
      <c r="D8" s="4">
        <v>47</v>
      </c>
      <c r="E8" s="4">
        <v>78</v>
      </c>
      <c r="F8" s="6">
        <v>44181</v>
      </c>
      <c r="G8" s="8" t="str">
        <f t="shared" si="0"/>
        <v>B</v>
      </c>
      <c r="H8" s="8">
        <f t="shared" si="1"/>
        <v>13</v>
      </c>
      <c r="I8" s="8">
        <f t="shared" si="2"/>
        <v>85</v>
      </c>
      <c r="J8" s="8" t="str">
        <f t="shared" si="3"/>
        <v>No</v>
      </c>
      <c r="K8" s="8" t="str">
        <f t="shared" si="4"/>
        <v>STUDENT 7</v>
      </c>
      <c r="L8" s="8" t="str">
        <f t="shared" si="5"/>
        <v>student 7</v>
      </c>
      <c r="M8" s="8">
        <f t="shared" si="6"/>
        <v>85</v>
      </c>
      <c r="N8" s="8">
        <f t="shared" si="7"/>
        <v>274950</v>
      </c>
    </row>
    <row r="9" spans="1:14" ht="15.75" customHeight="1" x14ac:dyDescent="0.25">
      <c r="A9" s="4">
        <v>1008</v>
      </c>
      <c r="B9" s="4" t="s">
        <v>81</v>
      </c>
      <c r="C9" s="4">
        <v>94</v>
      </c>
      <c r="D9" s="4">
        <v>67</v>
      </c>
      <c r="E9" s="4">
        <v>64</v>
      </c>
      <c r="F9" s="6">
        <v>44361</v>
      </c>
      <c r="G9" s="8" t="str">
        <f t="shared" si="0"/>
        <v>A</v>
      </c>
      <c r="H9" s="8">
        <f t="shared" si="1"/>
        <v>12</v>
      </c>
      <c r="I9" s="8">
        <f t="shared" si="2"/>
        <v>85.833333333333329</v>
      </c>
      <c r="J9" s="8" t="str">
        <f t="shared" si="3"/>
        <v>No</v>
      </c>
      <c r="K9" s="8" t="str">
        <f t="shared" si="4"/>
        <v>STUDENT 8</v>
      </c>
      <c r="L9" s="8" t="str">
        <f t="shared" si="5"/>
        <v>student 8</v>
      </c>
      <c r="M9" s="8">
        <f t="shared" si="6"/>
        <v>85.83</v>
      </c>
      <c r="N9" s="8">
        <f t="shared" si="7"/>
        <v>403072</v>
      </c>
    </row>
    <row r="10" spans="1:14" ht="15.75" customHeight="1" x14ac:dyDescent="0.25">
      <c r="A10" s="4">
        <v>1009</v>
      </c>
      <c r="B10" s="4" t="s">
        <v>86</v>
      </c>
      <c r="C10" s="4">
        <v>41</v>
      </c>
      <c r="D10" s="4">
        <v>75</v>
      </c>
      <c r="E10" s="4">
        <v>56</v>
      </c>
      <c r="F10" s="6">
        <v>44541</v>
      </c>
      <c r="G10" s="8" t="str">
        <f t="shared" si="0"/>
        <v>C</v>
      </c>
      <c r="H10" s="8">
        <f t="shared" si="1"/>
        <v>11</v>
      </c>
      <c r="I10" s="8">
        <f t="shared" si="2"/>
        <v>85.090909090909093</v>
      </c>
      <c r="J10" s="8" t="str">
        <f t="shared" si="3"/>
        <v>No</v>
      </c>
      <c r="K10" s="8" t="str">
        <f t="shared" si="4"/>
        <v>STUDENT 9</v>
      </c>
      <c r="L10" s="8" t="str">
        <f t="shared" si="5"/>
        <v>student 9</v>
      </c>
      <c r="M10" s="8">
        <f t="shared" si="6"/>
        <v>85.09</v>
      </c>
      <c r="N10" s="8">
        <f t="shared" si="7"/>
        <v>172200</v>
      </c>
    </row>
    <row r="11" spans="1:14" ht="15.75" customHeight="1" x14ac:dyDescent="0.25">
      <c r="A11" s="4">
        <v>1010</v>
      </c>
      <c r="B11" s="4" t="s">
        <v>89</v>
      </c>
      <c r="C11" s="4">
        <v>98</v>
      </c>
      <c r="D11" s="4">
        <v>54</v>
      </c>
      <c r="E11" s="4">
        <v>58</v>
      </c>
      <c r="F11" s="6">
        <v>44721</v>
      </c>
      <c r="G11" s="8" t="str">
        <f t="shared" si="0"/>
        <v>A</v>
      </c>
      <c r="H11" s="8">
        <f t="shared" si="1"/>
        <v>11</v>
      </c>
      <c r="I11" s="8">
        <f t="shared" si="2"/>
        <v>85.090909090909093</v>
      </c>
      <c r="J11" s="8" t="str">
        <f t="shared" si="3"/>
        <v>No</v>
      </c>
      <c r="K11" s="8" t="str">
        <f t="shared" si="4"/>
        <v>STUDENT 10</v>
      </c>
      <c r="L11" s="8" t="str">
        <f t="shared" si="5"/>
        <v>student 10</v>
      </c>
      <c r="M11" s="8">
        <f t="shared" si="6"/>
        <v>85.09</v>
      </c>
      <c r="N11" s="8">
        <f t="shared" si="7"/>
        <v>306936</v>
      </c>
    </row>
    <row r="12" spans="1:14" ht="15.75" customHeight="1" x14ac:dyDescent="0.25">
      <c r="A12" s="4">
        <v>1011</v>
      </c>
      <c r="B12" s="4" t="s">
        <v>93</v>
      </c>
      <c r="C12" s="4">
        <v>73</v>
      </c>
      <c r="D12" s="4">
        <v>79</v>
      </c>
      <c r="E12" s="4">
        <v>53</v>
      </c>
      <c r="F12" s="6">
        <v>44901</v>
      </c>
      <c r="G12" s="8" t="str">
        <f t="shared" si="0"/>
        <v>B</v>
      </c>
      <c r="H12" s="8">
        <f t="shared" si="1"/>
        <v>10</v>
      </c>
      <c r="I12" s="8">
        <f t="shared" si="2"/>
        <v>83.8</v>
      </c>
      <c r="J12" s="8" t="str">
        <f t="shared" si="3"/>
        <v>No</v>
      </c>
      <c r="K12" s="8" t="str">
        <f t="shared" si="4"/>
        <v>STUDENT 11</v>
      </c>
      <c r="L12" s="8" t="str">
        <f t="shared" si="5"/>
        <v>student 11</v>
      </c>
      <c r="M12" s="8">
        <f t="shared" si="6"/>
        <v>83.8</v>
      </c>
      <c r="N12" s="8">
        <f t="shared" si="7"/>
        <v>305651</v>
      </c>
    </row>
    <row r="13" spans="1:14" ht="15.75" customHeight="1" x14ac:dyDescent="0.25">
      <c r="A13" s="4">
        <v>1012</v>
      </c>
      <c r="B13" s="4" t="s">
        <v>98</v>
      </c>
      <c r="C13" s="4">
        <v>85</v>
      </c>
      <c r="D13" s="4">
        <v>89</v>
      </c>
      <c r="E13" s="4">
        <v>79</v>
      </c>
      <c r="F13" s="6">
        <v>45081</v>
      </c>
      <c r="G13" s="8" t="str">
        <f t="shared" si="0"/>
        <v>A</v>
      </c>
      <c r="H13" s="8">
        <f t="shared" si="1"/>
        <v>9</v>
      </c>
      <c r="I13" s="8">
        <f t="shared" si="2"/>
        <v>85</v>
      </c>
      <c r="J13" s="8" t="str">
        <f t="shared" si="3"/>
        <v>Yes</v>
      </c>
      <c r="K13" s="8" t="str">
        <f t="shared" si="4"/>
        <v>STUDENT 12</v>
      </c>
      <c r="L13" s="8" t="str">
        <f t="shared" si="5"/>
        <v>student 12</v>
      </c>
      <c r="M13" s="8">
        <f t="shared" si="6"/>
        <v>85</v>
      </c>
      <c r="N13" s="8">
        <f t="shared" si="7"/>
        <v>597635</v>
      </c>
    </row>
    <row r="14" spans="1:14" ht="15.75" customHeight="1" x14ac:dyDescent="0.25">
      <c r="A14" s="4">
        <v>1013</v>
      </c>
      <c r="B14" s="4" t="s">
        <v>101</v>
      </c>
      <c r="C14" s="4">
        <v>98</v>
      </c>
      <c r="D14" s="4">
        <v>90</v>
      </c>
      <c r="E14" s="4">
        <v>97</v>
      </c>
      <c r="F14" s="6">
        <v>45261</v>
      </c>
      <c r="G14" s="8" t="str">
        <f t="shared" si="0"/>
        <v>A</v>
      </c>
      <c r="H14" s="8">
        <f t="shared" si="1"/>
        <v>8</v>
      </c>
      <c r="I14" s="8">
        <f t="shared" si="2"/>
        <v>85</v>
      </c>
      <c r="J14" s="8" t="str">
        <f t="shared" si="3"/>
        <v>Yes</v>
      </c>
      <c r="K14" s="8" t="str">
        <f t="shared" si="4"/>
        <v>STUDENT 13</v>
      </c>
      <c r="L14" s="8" t="str">
        <f t="shared" si="5"/>
        <v>student 13</v>
      </c>
      <c r="M14" s="8">
        <f t="shared" si="6"/>
        <v>85</v>
      </c>
      <c r="N14" s="8">
        <f t="shared" si="7"/>
        <v>855540</v>
      </c>
    </row>
    <row r="15" spans="1:14" ht="15.75" customHeight="1" x14ac:dyDescent="0.25">
      <c r="A15" s="4">
        <v>1014</v>
      </c>
      <c r="B15" s="4" t="s">
        <v>106</v>
      </c>
      <c r="C15" s="4">
        <v>93</v>
      </c>
      <c r="D15" s="4">
        <v>40</v>
      </c>
      <c r="E15" s="4">
        <v>44</v>
      </c>
      <c r="F15" s="6">
        <v>45441</v>
      </c>
      <c r="G15" s="8" t="str">
        <f t="shared" si="0"/>
        <v>A</v>
      </c>
      <c r="H15" s="8">
        <f t="shared" si="1"/>
        <v>7</v>
      </c>
      <c r="I15" s="8">
        <f t="shared" si="2"/>
        <v>83.142857142857139</v>
      </c>
      <c r="J15" s="8" t="str">
        <f t="shared" si="3"/>
        <v>No</v>
      </c>
      <c r="K15" s="8" t="str">
        <f t="shared" si="4"/>
        <v>STUDENT 14</v>
      </c>
      <c r="L15" s="8" t="str">
        <f t="shared" si="5"/>
        <v>student 14</v>
      </c>
      <c r="M15" s="8">
        <f t="shared" si="6"/>
        <v>83.14</v>
      </c>
      <c r="N15" s="8">
        <f t="shared" si="7"/>
        <v>163680</v>
      </c>
    </row>
    <row r="16" spans="1:14" ht="15.75" customHeight="1" x14ac:dyDescent="0.25">
      <c r="A16" s="4">
        <v>1015</v>
      </c>
      <c r="B16" s="4" t="s">
        <v>110</v>
      </c>
      <c r="C16" s="4">
        <v>70</v>
      </c>
      <c r="D16" s="4">
        <v>51</v>
      </c>
      <c r="E16" s="4">
        <v>75</v>
      </c>
      <c r="F16" s="6">
        <v>45621</v>
      </c>
      <c r="G16" s="8" t="str">
        <f t="shared" si="0"/>
        <v>B</v>
      </c>
      <c r="H16" s="8">
        <f t="shared" si="1"/>
        <v>6</v>
      </c>
      <c r="I16" s="8">
        <f t="shared" si="2"/>
        <v>81.5</v>
      </c>
      <c r="J16" s="8" t="str">
        <f t="shared" si="3"/>
        <v>No</v>
      </c>
      <c r="K16" s="8" t="str">
        <f t="shared" si="4"/>
        <v>STUDENT 15</v>
      </c>
      <c r="L16" s="8" t="str">
        <f t="shared" si="5"/>
        <v>student 15</v>
      </c>
      <c r="M16" s="8">
        <f t="shared" si="6"/>
        <v>81.5</v>
      </c>
      <c r="N16" s="8">
        <f t="shared" si="7"/>
        <v>267750</v>
      </c>
    </row>
    <row r="17" spans="1:14" ht="15.75" customHeight="1" x14ac:dyDescent="0.25">
      <c r="A17" s="4">
        <v>1016</v>
      </c>
      <c r="B17" s="4" t="s">
        <v>111</v>
      </c>
      <c r="C17" s="4">
        <v>98</v>
      </c>
      <c r="D17" s="4">
        <v>77</v>
      </c>
      <c r="E17" s="4">
        <v>60</v>
      </c>
      <c r="F17" s="6">
        <v>45801</v>
      </c>
      <c r="G17" s="8" t="str">
        <f t="shared" si="0"/>
        <v>A</v>
      </c>
      <c r="H17" s="8">
        <f t="shared" si="1"/>
        <v>5</v>
      </c>
      <c r="I17" s="8">
        <f t="shared" si="2"/>
        <v>83.8</v>
      </c>
      <c r="J17" s="8" t="str">
        <f t="shared" si="3"/>
        <v>No</v>
      </c>
      <c r="K17" s="8" t="str">
        <f t="shared" si="4"/>
        <v>STUDENT 16</v>
      </c>
      <c r="L17" s="8" t="str">
        <f t="shared" si="5"/>
        <v>student 16</v>
      </c>
      <c r="M17" s="8">
        <f t="shared" si="6"/>
        <v>83.8</v>
      </c>
      <c r="N17" s="8">
        <f t="shared" si="7"/>
        <v>452760</v>
      </c>
    </row>
    <row r="18" spans="1:14" ht="15.75" customHeight="1" x14ac:dyDescent="0.25">
      <c r="A18" s="4">
        <v>1017</v>
      </c>
      <c r="B18" s="4" t="s">
        <v>112</v>
      </c>
      <c r="C18" s="4">
        <v>66</v>
      </c>
      <c r="D18" s="4">
        <v>59</v>
      </c>
      <c r="E18" s="4">
        <v>40</v>
      </c>
      <c r="F18" s="6">
        <v>45981</v>
      </c>
      <c r="G18" s="8" t="str">
        <f t="shared" si="0"/>
        <v>B</v>
      </c>
      <c r="H18" s="8">
        <f t="shared" si="1"/>
        <v>4</v>
      </c>
      <c r="I18" s="8">
        <f t="shared" si="2"/>
        <v>80.25</v>
      </c>
      <c r="J18" s="8" t="str">
        <f t="shared" si="3"/>
        <v>No</v>
      </c>
      <c r="K18" s="8" t="str">
        <f t="shared" si="4"/>
        <v>STUDENT 17</v>
      </c>
      <c r="L18" s="8" t="str">
        <f t="shared" si="5"/>
        <v>student 17</v>
      </c>
      <c r="M18" s="8">
        <f t="shared" si="6"/>
        <v>80.25</v>
      </c>
      <c r="N18" s="8">
        <f t="shared" si="7"/>
        <v>155760</v>
      </c>
    </row>
    <row r="19" spans="1:14" ht="15.75" customHeight="1" x14ac:dyDescent="0.25">
      <c r="A19" s="4">
        <v>1018</v>
      </c>
      <c r="B19" s="4" t="s">
        <v>113</v>
      </c>
      <c r="C19" s="4">
        <v>82</v>
      </c>
      <c r="D19" s="4">
        <v>48</v>
      </c>
      <c r="E19" s="4">
        <v>79</v>
      </c>
      <c r="F19" s="6">
        <v>46161</v>
      </c>
      <c r="G19" s="8" t="str">
        <f t="shared" si="0"/>
        <v>A</v>
      </c>
      <c r="H19" s="8">
        <f t="shared" si="1"/>
        <v>3</v>
      </c>
      <c r="I19" s="8">
        <f t="shared" si="2"/>
        <v>85</v>
      </c>
      <c r="J19" s="8" t="str">
        <f t="shared" si="3"/>
        <v>No</v>
      </c>
      <c r="K19" s="8" t="str">
        <f t="shared" si="4"/>
        <v>STUDENT 18</v>
      </c>
      <c r="L19" s="8" t="str">
        <f t="shared" si="5"/>
        <v>student 18</v>
      </c>
      <c r="M19" s="8">
        <f t="shared" si="6"/>
        <v>85</v>
      </c>
      <c r="N19" s="8">
        <f t="shared" si="7"/>
        <v>310944</v>
      </c>
    </row>
    <row r="20" spans="1:14" ht="15.75" customHeight="1" x14ac:dyDescent="0.25">
      <c r="A20" s="4">
        <v>1019</v>
      </c>
      <c r="B20" s="4" t="s">
        <v>114</v>
      </c>
      <c r="C20" s="4">
        <v>90</v>
      </c>
      <c r="D20" s="4">
        <v>78</v>
      </c>
      <c r="E20" s="4">
        <v>60</v>
      </c>
      <c r="F20" s="6">
        <v>46341</v>
      </c>
      <c r="G20" s="8" t="str">
        <f t="shared" si="0"/>
        <v>A</v>
      </c>
      <c r="H20" s="8">
        <f t="shared" si="1"/>
        <v>2</v>
      </c>
      <c r="I20" s="8">
        <f t="shared" si="2"/>
        <v>86.5</v>
      </c>
      <c r="J20" s="8" t="str">
        <f t="shared" si="3"/>
        <v>No</v>
      </c>
      <c r="K20" s="8" t="str">
        <f t="shared" si="4"/>
        <v>STUDENT 19</v>
      </c>
      <c r="L20" s="8" t="str">
        <f t="shared" si="5"/>
        <v>student 19</v>
      </c>
      <c r="M20" s="8">
        <f t="shared" si="6"/>
        <v>86.5</v>
      </c>
      <c r="N20" s="8">
        <f t="shared" si="7"/>
        <v>421200</v>
      </c>
    </row>
    <row r="21" spans="1:14" ht="15.75" customHeight="1" x14ac:dyDescent="0.25">
      <c r="A21" s="4">
        <v>1020</v>
      </c>
      <c r="B21" s="4" t="s">
        <v>115</v>
      </c>
      <c r="C21" s="4">
        <v>83</v>
      </c>
      <c r="D21" s="4">
        <v>92</v>
      </c>
      <c r="E21" s="4">
        <v>55</v>
      </c>
      <c r="F21" s="6">
        <v>46521</v>
      </c>
      <c r="G21" s="8" t="str">
        <f t="shared" si="0"/>
        <v>A</v>
      </c>
      <c r="H21" s="8">
        <f t="shared" si="1"/>
        <v>1</v>
      </c>
      <c r="I21" s="8">
        <f t="shared" si="2"/>
        <v>83</v>
      </c>
      <c r="J21" s="8" t="str">
        <f t="shared" si="3"/>
        <v>Yes</v>
      </c>
      <c r="K21" s="8" t="str">
        <f t="shared" si="4"/>
        <v>STUDENT 20</v>
      </c>
      <c r="L21" s="8" t="str">
        <f t="shared" si="5"/>
        <v>student 20</v>
      </c>
      <c r="M21" s="8">
        <f t="shared" si="6"/>
        <v>83</v>
      </c>
      <c r="N21" s="8">
        <f t="shared" si="7"/>
        <v>419980</v>
      </c>
    </row>
    <row r="23" spans="1:14" x14ac:dyDescent="0.2">
      <c r="A23" s="13" t="s">
        <v>91</v>
      </c>
      <c r="B23" s="14"/>
      <c r="C23" s="14"/>
      <c r="D23" s="14"/>
      <c r="E23" s="15"/>
    </row>
    <row r="24" spans="1:14" ht="12.75" x14ac:dyDescent="0.2">
      <c r="A24" s="19" t="s">
        <v>95</v>
      </c>
      <c r="B24" s="15"/>
      <c r="C24" s="19" t="s">
        <v>96</v>
      </c>
      <c r="D24" s="14"/>
      <c r="E24" s="15"/>
    </row>
    <row r="25" spans="1:14" ht="12.75" x14ac:dyDescent="0.2">
      <c r="A25" s="16" t="s">
        <v>116</v>
      </c>
      <c r="B25" s="17"/>
      <c r="C25" s="16" t="s">
        <v>117</v>
      </c>
      <c r="D25" s="18"/>
      <c r="E25" s="17"/>
    </row>
    <row r="26" spans="1:14" ht="12.75" x14ac:dyDescent="0.2">
      <c r="A26" s="20" t="s">
        <v>20</v>
      </c>
      <c r="B26" s="21"/>
      <c r="C26" s="20" t="s">
        <v>118</v>
      </c>
      <c r="D26" s="22"/>
      <c r="E26" s="21"/>
    </row>
    <row r="27" spans="1:14" ht="12.75" x14ac:dyDescent="0.2">
      <c r="A27" s="20" t="s">
        <v>21</v>
      </c>
      <c r="B27" s="21"/>
      <c r="C27" s="20" t="s">
        <v>119</v>
      </c>
      <c r="D27" s="22"/>
      <c r="E27" s="21"/>
    </row>
    <row r="28" spans="1:14" ht="12.75" x14ac:dyDescent="0.2">
      <c r="A28" s="20" t="s">
        <v>23</v>
      </c>
      <c r="B28" s="21"/>
      <c r="C28" s="20" t="s">
        <v>120</v>
      </c>
      <c r="D28" s="22"/>
      <c r="E28" s="21"/>
    </row>
    <row r="29" spans="1:14" ht="12.75" x14ac:dyDescent="0.2">
      <c r="A29" s="20" t="s">
        <v>24</v>
      </c>
      <c r="B29" s="21"/>
      <c r="C29" s="20" t="s">
        <v>121</v>
      </c>
      <c r="D29" s="22"/>
      <c r="E29" s="21"/>
    </row>
    <row r="30" spans="1:14" ht="12.75" x14ac:dyDescent="0.2">
      <c r="A30" s="20" t="s">
        <v>25</v>
      </c>
      <c r="B30" s="21"/>
      <c r="C30" s="20" t="s">
        <v>122</v>
      </c>
      <c r="D30" s="22"/>
      <c r="E30" s="21"/>
    </row>
    <row r="31" spans="1:14" ht="12.75" x14ac:dyDescent="0.2">
      <c r="A31" s="20" t="s">
        <v>26</v>
      </c>
      <c r="B31" s="21"/>
      <c r="C31" s="20" t="s">
        <v>123</v>
      </c>
      <c r="D31" s="22"/>
      <c r="E31" s="21"/>
    </row>
    <row r="32" spans="1:14" ht="12.75" x14ac:dyDescent="0.2">
      <c r="A32" s="23" t="s">
        <v>124</v>
      </c>
      <c r="B32" s="24"/>
      <c r="C32" s="23" t="s">
        <v>125</v>
      </c>
      <c r="D32" s="26"/>
      <c r="E32" s="24"/>
    </row>
    <row r="33" spans="1:5" ht="12.75" x14ac:dyDescent="0.2">
      <c r="A33" s="25"/>
      <c r="B33" s="22"/>
      <c r="C33" s="25"/>
      <c r="D33" s="22"/>
      <c r="E33" s="22"/>
    </row>
  </sheetData>
  <mergeCells count="21">
    <mergeCell ref="A33:B33"/>
    <mergeCell ref="C31:E31"/>
    <mergeCell ref="C32:E32"/>
    <mergeCell ref="C33:E33"/>
    <mergeCell ref="A27:B27"/>
    <mergeCell ref="C27:E27"/>
    <mergeCell ref="A28:B28"/>
    <mergeCell ref="C28:E28"/>
    <mergeCell ref="A29:B29"/>
    <mergeCell ref="C29:E29"/>
    <mergeCell ref="C30:E30"/>
    <mergeCell ref="A26:B26"/>
    <mergeCell ref="C26:E26"/>
    <mergeCell ref="A30:B30"/>
    <mergeCell ref="A31:B31"/>
    <mergeCell ref="A32:B32"/>
    <mergeCell ref="A23:E23"/>
    <mergeCell ref="A25:B25"/>
    <mergeCell ref="C25:E25"/>
    <mergeCell ref="A24:B24"/>
    <mergeCell ref="C24:E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7"/>
  <sheetViews>
    <sheetView topLeftCell="A10" workbookViewId="0"/>
  </sheetViews>
  <sheetFormatPr defaultColWidth="12.5703125" defaultRowHeight="15.75" customHeight="1" x14ac:dyDescent="0.2"/>
  <cols>
    <col min="6" max="6" width="18.7109375" customWidth="1"/>
    <col min="7" max="7" width="16.42578125" customWidth="1"/>
  </cols>
  <sheetData>
    <row r="1" spans="1:10" ht="15.75" customHeight="1" x14ac:dyDescent="0.25">
      <c r="A1" s="1" t="s">
        <v>0</v>
      </c>
      <c r="B1" s="1" t="s">
        <v>3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13</v>
      </c>
      <c r="H1" s="1" t="s">
        <v>16</v>
      </c>
      <c r="I1" s="27" t="s">
        <v>17</v>
      </c>
      <c r="J1" s="15"/>
    </row>
    <row r="2" spans="1:10" ht="15.75" customHeight="1" x14ac:dyDescent="0.25">
      <c r="A2" s="5">
        <v>2001</v>
      </c>
      <c r="B2" s="5" t="s">
        <v>31</v>
      </c>
      <c r="C2" s="5" t="s">
        <v>32</v>
      </c>
      <c r="D2" s="5" t="s">
        <v>33</v>
      </c>
      <c r="E2" s="5">
        <v>7048</v>
      </c>
      <c r="F2" s="7">
        <v>44927</v>
      </c>
      <c r="G2" s="8">
        <f t="shared" ref="G2:G21" si="0">SUMIFS(E2:E21,B2:B21,"Keyboard",C2:C21,"South")</f>
        <v>42233</v>
      </c>
      <c r="H2" s="8" t="str">
        <f t="shared" ref="H2:H21" si="1">IF(OR(E2&gt;10000,C2="South"),"Eligible","Not Eligible")</f>
        <v>Eligible</v>
      </c>
      <c r="I2" s="9">
        <v>0.18</v>
      </c>
      <c r="J2" s="8">
        <f t="shared" ref="J2:J21" si="2">E2*$I$2</f>
        <v>1268.6399999999999</v>
      </c>
    </row>
    <row r="3" spans="1:10" ht="15.75" customHeight="1" x14ac:dyDescent="0.25">
      <c r="A3" s="5">
        <v>2002</v>
      </c>
      <c r="B3" s="5" t="s">
        <v>40</v>
      </c>
      <c r="C3" s="5" t="s">
        <v>41</v>
      </c>
      <c r="D3" s="5" t="s">
        <v>42</v>
      </c>
      <c r="E3" s="5">
        <v>17428</v>
      </c>
      <c r="F3" s="7">
        <v>44942</v>
      </c>
      <c r="G3" s="8">
        <f t="shared" si="0"/>
        <v>35185</v>
      </c>
      <c r="H3" s="8" t="str">
        <f t="shared" si="1"/>
        <v>Eligible</v>
      </c>
      <c r="I3" s="10"/>
      <c r="J3" s="8">
        <f t="shared" si="2"/>
        <v>3137.04</v>
      </c>
    </row>
    <row r="4" spans="1:10" ht="15.75" customHeight="1" x14ac:dyDescent="0.25">
      <c r="A4" s="5">
        <v>2003</v>
      </c>
      <c r="B4" s="5" t="s">
        <v>47</v>
      </c>
      <c r="C4" s="5" t="s">
        <v>32</v>
      </c>
      <c r="D4" s="5" t="s">
        <v>48</v>
      </c>
      <c r="E4" s="5">
        <v>23672</v>
      </c>
      <c r="F4" s="7">
        <v>44957</v>
      </c>
      <c r="G4" s="8">
        <f t="shared" si="0"/>
        <v>35185</v>
      </c>
      <c r="H4" s="8" t="str">
        <f t="shared" si="1"/>
        <v>Eligible</v>
      </c>
      <c r="I4" s="10"/>
      <c r="J4" s="8">
        <f t="shared" si="2"/>
        <v>4260.96</v>
      </c>
    </row>
    <row r="5" spans="1:10" ht="15.75" customHeight="1" x14ac:dyDescent="0.25">
      <c r="A5" s="5">
        <v>2004</v>
      </c>
      <c r="B5" s="5" t="s">
        <v>40</v>
      </c>
      <c r="C5" s="5" t="s">
        <v>51</v>
      </c>
      <c r="D5" s="5" t="s">
        <v>52</v>
      </c>
      <c r="E5" s="5">
        <v>5264</v>
      </c>
      <c r="F5" s="7">
        <v>44972</v>
      </c>
      <c r="G5" s="8">
        <f t="shared" si="0"/>
        <v>35185</v>
      </c>
      <c r="H5" s="8" t="str">
        <f t="shared" si="1"/>
        <v>Not Eligible</v>
      </c>
      <c r="I5" s="10"/>
      <c r="J5" s="8">
        <f t="shared" si="2"/>
        <v>947.52</v>
      </c>
    </row>
    <row r="6" spans="1:10" ht="15.75" customHeight="1" x14ac:dyDescent="0.25">
      <c r="A6" s="5">
        <v>2005</v>
      </c>
      <c r="B6" s="5" t="s">
        <v>31</v>
      </c>
      <c r="C6" s="5" t="s">
        <v>54</v>
      </c>
      <c r="D6" s="5" t="s">
        <v>55</v>
      </c>
      <c r="E6" s="5">
        <v>43388</v>
      </c>
      <c r="F6" s="7">
        <v>44987</v>
      </c>
      <c r="G6" s="8">
        <f t="shared" si="0"/>
        <v>35185</v>
      </c>
      <c r="H6" s="8" t="str">
        <f t="shared" si="1"/>
        <v>Eligible</v>
      </c>
      <c r="I6" s="10"/>
      <c r="J6" s="8">
        <f t="shared" si="2"/>
        <v>7809.84</v>
      </c>
    </row>
    <row r="7" spans="1:10" ht="15.75" customHeight="1" x14ac:dyDescent="0.25">
      <c r="A7" s="5">
        <v>2006</v>
      </c>
      <c r="B7" s="5" t="s">
        <v>47</v>
      </c>
      <c r="C7" s="5" t="s">
        <v>54</v>
      </c>
      <c r="D7" s="5" t="s">
        <v>57</v>
      </c>
      <c r="E7" s="5">
        <v>19757</v>
      </c>
      <c r="F7" s="7">
        <v>45002</v>
      </c>
      <c r="G7" s="8">
        <f t="shared" si="0"/>
        <v>35185</v>
      </c>
      <c r="H7" s="8" t="str">
        <f t="shared" si="1"/>
        <v>Eligible</v>
      </c>
      <c r="I7" s="10"/>
      <c r="J7" s="8">
        <f t="shared" si="2"/>
        <v>3556.2599999999998</v>
      </c>
    </row>
    <row r="8" spans="1:10" ht="15.75" customHeight="1" x14ac:dyDescent="0.25">
      <c r="A8" s="5">
        <v>2007</v>
      </c>
      <c r="B8" s="5" t="s">
        <v>47</v>
      </c>
      <c r="C8" s="5" t="s">
        <v>51</v>
      </c>
      <c r="D8" s="5" t="s">
        <v>61</v>
      </c>
      <c r="E8" s="5">
        <v>32058</v>
      </c>
      <c r="F8" s="7">
        <v>45017</v>
      </c>
      <c r="G8" s="8">
        <f t="shared" si="0"/>
        <v>35185</v>
      </c>
      <c r="H8" s="8" t="str">
        <f t="shared" si="1"/>
        <v>Eligible</v>
      </c>
      <c r="I8" s="10"/>
      <c r="J8" s="8">
        <f t="shared" si="2"/>
        <v>5770.44</v>
      </c>
    </row>
    <row r="9" spans="1:10" ht="15.75" customHeight="1" x14ac:dyDescent="0.25">
      <c r="A9" s="5">
        <v>2008</v>
      </c>
      <c r="B9" s="5" t="s">
        <v>31</v>
      </c>
      <c r="C9" s="5" t="s">
        <v>51</v>
      </c>
      <c r="D9" s="5" t="s">
        <v>63</v>
      </c>
      <c r="E9" s="5">
        <v>46429</v>
      </c>
      <c r="F9" s="7">
        <v>45032</v>
      </c>
      <c r="G9" s="8">
        <f t="shared" si="0"/>
        <v>35185</v>
      </c>
      <c r="H9" s="8" t="str">
        <f t="shared" si="1"/>
        <v>Eligible</v>
      </c>
      <c r="I9" s="10"/>
      <c r="J9" s="8">
        <f t="shared" si="2"/>
        <v>8357.2199999999993</v>
      </c>
    </row>
    <row r="10" spans="1:10" ht="15.75" customHeight="1" x14ac:dyDescent="0.25">
      <c r="A10" s="5">
        <v>2009</v>
      </c>
      <c r="B10" s="5" t="s">
        <v>40</v>
      </c>
      <c r="C10" s="5" t="s">
        <v>51</v>
      </c>
      <c r="D10" s="5" t="s">
        <v>65</v>
      </c>
      <c r="E10" s="5">
        <v>19746</v>
      </c>
      <c r="F10" s="7">
        <v>45047</v>
      </c>
      <c r="G10" s="8">
        <f t="shared" si="0"/>
        <v>35185</v>
      </c>
      <c r="H10" s="8" t="str">
        <f t="shared" si="1"/>
        <v>Eligible</v>
      </c>
      <c r="I10" s="10"/>
      <c r="J10" s="8">
        <f t="shared" si="2"/>
        <v>3554.2799999999997</v>
      </c>
    </row>
    <row r="11" spans="1:10" ht="15.75" customHeight="1" x14ac:dyDescent="0.25">
      <c r="A11" s="5">
        <v>2010</v>
      </c>
      <c r="B11" s="5" t="s">
        <v>31</v>
      </c>
      <c r="C11" s="5" t="s">
        <v>32</v>
      </c>
      <c r="D11" s="5" t="s">
        <v>66</v>
      </c>
      <c r="E11" s="5">
        <v>35185</v>
      </c>
      <c r="F11" s="7">
        <v>45062</v>
      </c>
      <c r="G11" s="8">
        <f t="shared" si="0"/>
        <v>35185</v>
      </c>
      <c r="H11" s="8" t="str">
        <f t="shared" si="1"/>
        <v>Eligible</v>
      </c>
      <c r="I11" s="10"/>
      <c r="J11" s="8">
        <f t="shared" si="2"/>
        <v>6333.3</v>
      </c>
    </row>
    <row r="12" spans="1:10" ht="15.75" customHeight="1" x14ac:dyDescent="0.25">
      <c r="A12" s="5">
        <v>2011</v>
      </c>
      <c r="B12" s="5" t="s">
        <v>31</v>
      </c>
      <c r="C12" s="5" t="s">
        <v>51</v>
      </c>
      <c r="D12" s="5" t="s">
        <v>69</v>
      </c>
      <c r="E12" s="5">
        <v>33920</v>
      </c>
      <c r="F12" s="7">
        <v>45077</v>
      </c>
      <c r="G12" s="8">
        <f t="shared" si="0"/>
        <v>0</v>
      </c>
      <c r="H12" s="8" t="str">
        <f t="shared" si="1"/>
        <v>Eligible</v>
      </c>
      <c r="I12" s="10"/>
      <c r="J12" s="8">
        <f t="shared" si="2"/>
        <v>6105.5999999999995</v>
      </c>
    </row>
    <row r="13" spans="1:10" ht="15.75" customHeight="1" x14ac:dyDescent="0.25">
      <c r="A13" s="5">
        <v>2012</v>
      </c>
      <c r="B13" s="5" t="s">
        <v>71</v>
      </c>
      <c r="C13" s="5" t="s">
        <v>54</v>
      </c>
      <c r="D13" s="5" t="s">
        <v>73</v>
      </c>
      <c r="E13" s="5">
        <v>35611</v>
      </c>
      <c r="F13" s="7">
        <v>45092</v>
      </c>
      <c r="G13" s="8">
        <f t="shared" si="0"/>
        <v>0</v>
      </c>
      <c r="H13" s="8" t="str">
        <f t="shared" si="1"/>
        <v>Eligible</v>
      </c>
      <c r="I13" s="10"/>
      <c r="J13" s="8">
        <f t="shared" si="2"/>
        <v>6409.98</v>
      </c>
    </row>
    <row r="14" spans="1:10" ht="15.75" customHeight="1" x14ac:dyDescent="0.25">
      <c r="A14" s="5">
        <v>2013</v>
      </c>
      <c r="B14" s="5" t="s">
        <v>76</v>
      </c>
      <c r="C14" s="5" t="s">
        <v>51</v>
      </c>
      <c r="D14" s="5" t="s">
        <v>77</v>
      </c>
      <c r="E14" s="5">
        <v>15560</v>
      </c>
      <c r="F14" s="7">
        <v>45107</v>
      </c>
      <c r="G14" s="8">
        <f t="shared" si="0"/>
        <v>0</v>
      </c>
      <c r="H14" s="8" t="str">
        <f t="shared" si="1"/>
        <v>Eligible</v>
      </c>
      <c r="I14" s="10"/>
      <c r="J14" s="8">
        <f t="shared" si="2"/>
        <v>2800.7999999999997</v>
      </c>
    </row>
    <row r="15" spans="1:10" ht="15.75" customHeight="1" x14ac:dyDescent="0.25">
      <c r="A15" s="5">
        <v>2014</v>
      </c>
      <c r="B15" s="5" t="s">
        <v>76</v>
      </c>
      <c r="C15" s="5" t="s">
        <v>32</v>
      </c>
      <c r="D15" s="5" t="s">
        <v>79</v>
      </c>
      <c r="E15" s="5">
        <v>7283</v>
      </c>
      <c r="F15" s="7">
        <v>45122</v>
      </c>
      <c r="G15" s="8">
        <f t="shared" si="0"/>
        <v>0</v>
      </c>
      <c r="H15" s="8" t="str">
        <f t="shared" si="1"/>
        <v>Eligible</v>
      </c>
      <c r="I15" s="10"/>
      <c r="J15" s="8">
        <f t="shared" si="2"/>
        <v>1310.94</v>
      </c>
    </row>
    <row r="16" spans="1:10" ht="15.75" customHeight="1" x14ac:dyDescent="0.25">
      <c r="A16" s="5">
        <v>2015</v>
      </c>
      <c r="B16" s="5" t="s">
        <v>76</v>
      </c>
      <c r="C16" s="5" t="s">
        <v>51</v>
      </c>
      <c r="D16" s="5" t="s">
        <v>82</v>
      </c>
      <c r="E16" s="5">
        <v>15678</v>
      </c>
      <c r="F16" s="7">
        <v>45137</v>
      </c>
      <c r="G16" s="8">
        <f t="shared" si="0"/>
        <v>0</v>
      </c>
      <c r="H16" s="8" t="str">
        <f t="shared" si="1"/>
        <v>Eligible</v>
      </c>
      <c r="I16" s="10"/>
      <c r="J16" s="8">
        <f t="shared" si="2"/>
        <v>2822.04</v>
      </c>
    </row>
    <row r="17" spans="1:10" ht="15.75" customHeight="1" x14ac:dyDescent="0.25">
      <c r="A17" s="5">
        <v>2016</v>
      </c>
      <c r="B17" s="5" t="s">
        <v>47</v>
      </c>
      <c r="C17" s="5" t="s">
        <v>51</v>
      </c>
      <c r="D17" s="5" t="s">
        <v>84</v>
      </c>
      <c r="E17" s="5">
        <v>5277</v>
      </c>
      <c r="F17" s="7">
        <v>45152</v>
      </c>
      <c r="G17" s="8">
        <f t="shared" si="0"/>
        <v>0</v>
      </c>
      <c r="H17" s="8" t="str">
        <f t="shared" si="1"/>
        <v>Not Eligible</v>
      </c>
      <c r="I17" s="11"/>
      <c r="J17" s="8">
        <f t="shared" si="2"/>
        <v>949.86</v>
      </c>
    </row>
    <row r="18" spans="1:10" ht="15.75" customHeight="1" x14ac:dyDescent="0.25">
      <c r="A18" s="5">
        <v>2017</v>
      </c>
      <c r="B18" s="5" t="s">
        <v>71</v>
      </c>
      <c r="C18" s="5" t="s">
        <v>54</v>
      </c>
      <c r="D18" s="5" t="s">
        <v>87</v>
      </c>
      <c r="E18" s="5">
        <v>41871</v>
      </c>
      <c r="F18" s="7">
        <v>45167</v>
      </c>
      <c r="G18" s="8">
        <f t="shared" si="0"/>
        <v>0</v>
      </c>
      <c r="H18" s="8" t="str">
        <f t="shared" si="1"/>
        <v>Eligible</v>
      </c>
      <c r="I18" s="11"/>
      <c r="J18" s="8">
        <f t="shared" si="2"/>
        <v>7536.78</v>
      </c>
    </row>
    <row r="19" spans="1:10" ht="15.75" customHeight="1" x14ac:dyDescent="0.25">
      <c r="A19" s="5">
        <v>2018</v>
      </c>
      <c r="B19" s="5" t="s">
        <v>71</v>
      </c>
      <c r="C19" s="5" t="s">
        <v>41</v>
      </c>
      <c r="D19" s="5" t="s">
        <v>90</v>
      </c>
      <c r="E19" s="5">
        <v>38161</v>
      </c>
      <c r="F19" s="7">
        <v>45182</v>
      </c>
      <c r="G19" s="8">
        <f t="shared" si="0"/>
        <v>0</v>
      </c>
      <c r="H19" s="8" t="str">
        <f t="shared" si="1"/>
        <v>Eligible</v>
      </c>
      <c r="I19" s="11"/>
      <c r="J19" s="8">
        <f t="shared" si="2"/>
        <v>6868.98</v>
      </c>
    </row>
    <row r="20" spans="1:10" ht="15.75" customHeight="1" x14ac:dyDescent="0.25">
      <c r="A20" s="5">
        <v>2019</v>
      </c>
      <c r="B20" s="5" t="s">
        <v>47</v>
      </c>
      <c r="C20" s="5" t="s">
        <v>41</v>
      </c>
      <c r="D20" s="5" t="s">
        <v>92</v>
      </c>
      <c r="E20" s="5">
        <v>30436</v>
      </c>
      <c r="F20" s="7">
        <v>45197</v>
      </c>
      <c r="G20" s="8">
        <f t="shared" si="0"/>
        <v>0</v>
      </c>
      <c r="H20" s="8" t="str">
        <f t="shared" si="1"/>
        <v>Eligible</v>
      </c>
      <c r="I20" s="11"/>
      <c r="J20" s="8">
        <f t="shared" si="2"/>
        <v>5478.48</v>
      </c>
    </row>
    <row r="21" spans="1:10" ht="15.75" customHeight="1" x14ac:dyDescent="0.25">
      <c r="A21" s="5">
        <v>2020</v>
      </c>
      <c r="B21" s="5" t="s">
        <v>40</v>
      </c>
      <c r="C21" s="5" t="s">
        <v>41</v>
      </c>
      <c r="D21" s="5" t="s">
        <v>94</v>
      </c>
      <c r="E21" s="5">
        <v>33953</v>
      </c>
      <c r="F21" s="7">
        <v>45212</v>
      </c>
      <c r="G21" s="8">
        <f t="shared" si="0"/>
        <v>0</v>
      </c>
      <c r="H21" s="12" t="str">
        <f t="shared" si="1"/>
        <v>Eligible</v>
      </c>
      <c r="I21" s="11"/>
      <c r="J21" s="8">
        <f t="shared" si="2"/>
        <v>6111.54</v>
      </c>
    </row>
    <row r="23" spans="1:10" x14ac:dyDescent="0.2">
      <c r="A23" s="28" t="s">
        <v>91</v>
      </c>
      <c r="B23" s="14"/>
      <c r="C23" s="14"/>
      <c r="D23" s="14"/>
      <c r="E23" s="14"/>
      <c r="F23" s="15"/>
    </row>
    <row r="24" spans="1:10" ht="12.75" x14ac:dyDescent="0.2">
      <c r="A24" s="19" t="s">
        <v>95</v>
      </c>
      <c r="B24" s="15"/>
      <c r="C24" s="19" t="s">
        <v>96</v>
      </c>
      <c r="D24" s="14"/>
      <c r="E24" s="14"/>
      <c r="F24" s="15"/>
    </row>
    <row r="25" spans="1:10" ht="12.75" x14ac:dyDescent="0.2">
      <c r="A25" s="16" t="s">
        <v>13</v>
      </c>
      <c r="B25" s="17"/>
      <c r="C25" s="16" t="s">
        <v>105</v>
      </c>
      <c r="D25" s="18"/>
      <c r="E25" s="18"/>
      <c r="F25" s="17"/>
    </row>
    <row r="26" spans="1:10" ht="12.75" x14ac:dyDescent="0.2">
      <c r="A26" s="20" t="s">
        <v>16</v>
      </c>
      <c r="B26" s="21"/>
      <c r="C26" s="20" t="s">
        <v>107</v>
      </c>
      <c r="D26" s="22"/>
      <c r="E26" s="22"/>
      <c r="F26" s="21"/>
    </row>
    <row r="27" spans="1:10" ht="12.75" x14ac:dyDescent="0.2">
      <c r="A27" s="23" t="s">
        <v>108</v>
      </c>
      <c r="B27" s="24"/>
      <c r="C27" s="23" t="s">
        <v>109</v>
      </c>
      <c r="D27" s="26"/>
      <c r="E27" s="26"/>
      <c r="F27" s="24"/>
    </row>
  </sheetData>
  <mergeCells count="10">
    <mergeCell ref="A26:B26"/>
    <mergeCell ref="A27:B27"/>
    <mergeCell ref="C27:F27"/>
    <mergeCell ref="I1:J1"/>
    <mergeCell ref="A24:B24"/>
    <mergeCell ref="A25:B25"/>
    <mergeCell ref="C26:F26"/>
    <mergeCell ref="C25:F25"/>
    <mergeCell ref="A23:F23"/>
    <mergeCell ref="C24:F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7"/>
  <sheetViews>
    <sheetView workbookViewId="0">
      <selection activeCell="M13" sqref="M13"/>
    </sheetView>
  </sheetViews>
  <sheetFormatPr defaultColWidth="12.5703125" defaultRowHeight="15.75" customHeight="1" x14ac:dyDescent="0.2"/>
  <cols>
    <col min="5" max="5" width="17.140625" customWidth="1"/>
    <col min="9" max="9" width="14.42578125" customWidth="1"/>
    <col min="10" max="10" width="19.28515625" customWidth="1"/>
  </cols>
  <sheetData>
    <row r="1" spans="1:10" ht="15.75" customHeight="1" x14ac:dyDescent="0.25">
      <c r="A1" s="1" t="s">
        <v>2</v>
      </c>
      <c r="B1" s="1" t="s">
        <v>4</v>
      </c>
      <c r="C1" s="1" t="s">
        <v>15</v>
      </c>
      <c r="D1" s="1" t="s">
        <v>18</v>
      </c>
      <c r="E1" s="1" t="s">
        <v>19</v>
      </c>
      <c r="G1" s="27" t="s">
        <v>22</v>
      </c>
      <c r="H1" s="15"/>
      <c r="I1" s="1" t="s">
        <v>28</v>
      </c>
      <c r="J1" s="1" t="s">
        <v>29</v>
      </c>
    </row>
    <row r="2" spans="1:10" ht="15.75" customHeight="1" x14ac:dyDescent="0.25">
      <c r="A2" s="5">
        <v>3001</v>
      </c>
      <c r="B2" s="5" t="s">
        <v>34</v>
      </c>
      <c r="C2" s="5" t="s">
        <v>35</v>
      </c>
      <c r="D2" s="5">
        <v>86766</v>
      </c>
      <c r="E2" s="7">
        <v>42005</v>
      </c>
      <c r="G2" s="5">
        <v>3001</v>
      </c>
      <c r="H2" s="8" t="str">
        <f t="shared" ref="H2:H21" si="0">VLOOKUP(G2,A2:E21,2,FALSE)</f>
        <v>Employee 1</v>
      </c>
      <c r="I2" s="8" t="e">
        <f t="shared" ref="I2:I21" ca="1" si="1">_xlfn.XLOOKUP(G2,A2:A21,D2:D21,"Not Found")</f>
        <v>#NAME?</v>
      </c>
      <c r="J2" s="8">
        <f t="shared" ref="J2:J21" si="2">INDEX(D2:D21,MATCH(G2,A2:A21,0))</f>
        <v>86766</v>
      </c>
    </row>
    <row r="3" spans="1:10" ht="15.75" customHeight="1" x14ac:dyDescent="0.25">
      <c r="A3" s="5">
        <v>3001</v>
      </c>
      <c r="B3" s="5" t="s">
        <v>36</v>
      </c>
      <c r="C3" s="5" t="s">
        <v>35</v>
      </c>
      <c r="D3" s="5">
        <v>31943</v>
      </c>
      <c r="E3" s="7">
        <v>42255</v>
      </c>
      <c r="G3" s="5">
        <v>3001</v>
      </c>
      <c r="H3" s="8" t="str">
        <f t="shared" si="0"/>
        <v>Employee 2</v>
      </c>
      <c r="I3" s="8" t="e">
        <f t="shared" ca="1" si="1"/>
        <v>#NAME?</v>
      </c>
      <c r="J3" s="8">
        <f t="shared" si="2"/>
        <v>31943</v>
      </c>
    </row>
    <row r="4" spans="1:10" ht="15.75" customHeight="1" x14ac:dyDescent="0.25">
      <c r="A4" s="5">
        <v>3001</v>
      </c>
      <c r="B4" s="5" t="s">
        <v>37</v>
      </c>
      <c r="C4" s="5" t="s">
        <v>38</v>
      </c>
      <c r="D4" s="5">
        <v>63374</v>
      </c>
      <c r="E4" s="7">
        <v>42505</v>
      </c>
      <c r="G4" s="5">
        <v>3001</v>
      </c>
      <c r="H4" s="8" t="str">
        <f t="shared" si="0"/>
        <v>Employee 3</v>
      </c>
      <c r="I4" s="8" t="e">
        <f t="shared" ca="1" si="1"/>
        <v>#NAME?</v>
      </c>
      <c r="J4" s="8">
        <f t="shared" si="2"/>
        <v>63374</v>
      </c>
    </row>
    <row r="5" spans="1:10" ht="15.75" customHeight="1" x14ac:dyDescent="0.25">
      <c r="A5" s="5">
        <v>3001</v>
      </c>
      <c r="B5" s="5" t="s">
        <v>39</v>
      </c>
      <c r="C5" s="5" t="s">
        <v>35</v>
      </c>
      <c r="D5" s="5">
        <v>109972</v>
      </c>
      <c r="E5" s="7">
        <v>42755</v>
      </c>
      <c r="G5" s="5">
        <v>3001</v>
      </c>
      <c r="H5" s="8" t="str">
        <f t="shared" si="0"/>
        <v>Employee 4</v>
      </c>
      <c r="I5" s="8" t="e">
        <f t="shared" ca="1" si="1"/>
        <v>#NAME?</v>
      </c>
      <c r="J5" s="8">
        <f t="shared" si="2"/>
        <v>109972</v>
      </c>
    </row>
    <row r="6" spans="1:10" ht="15.75" customHeight="1" x14ac:dyDescent="0.25">
      <c r="A6" s="5">
        <v>3001</v>
      </c>
      <c r="B6" s="5" t="s">
        <v>43</v>
      </c>
      <c r="C6" s="5" t="s">
        <v>44</v>
      </c>
      <c r="D6" s="5">
        <v>54149</v>
      </c>
      <c r="E6" s="7">
        <v>43005</v>
      </c>
      <c r="G6" s="5">
        <v>3001</v>
      </c>
      <c r="H6" s="8" t="str">
        <f t="shared" si="0"/>
        <v>Employee 5</v>
      </c>
      <c r="I6" s="8" t="e">
        <f t="shared" ca="1" si="1"/>
        <v>#NAME?</v>
      </c>
      <c r="J6" s="8">
        <f t="shared" si="2"/>
        <v>54149</v>
      </c>
    </row>
    <row r="7" spans="1:10" ht="15.75" customHeight="1" x14ac:dyDescent="0.25">
      <c r="A7" s="5">
        <v>3001</v>
      </c>
      <c r="B7" s="5" t="s">
        <v>46</v>
      </c>
      <c r="C7" s="5" t="s">
        <v>44</v>
      </c>
      <c r="D7" s="5">
        <v>78689</v>
      </c>
      <c r="E7" s="7">
        <v>43255</v>
      </c>
      <c r="G7" s="5">
        <v>3001</v>
      </c>
      <c r="H7" s="8" t="str">
        <f t="shared" si="0"/>
        <v>Employee 6</v>
      </c>
      <c r="I7" s="8" t="e">
        <f t="shared" ca="1" si="1"/>
        <v>#NAME?</v>
      </c>
      <c r="J7" s="8">
        <f t="shared" si="2"/>
        <v>78689</v>
      </c>
    </row>
    <row r="8" spans="1:10" ht="15.75" customHeight="1" x14ac:dyDescent="0.25">
      <c r="A8" s="5">
        <v>3001</v>
      </c>
      <c r="B8" s="5" t="s">
        <v>49</v>
      </c>
      <c r="C8" s="5" t="s">
        <v>50</v>
      </c>
      <c r="D8" s="5">
        <v>35960</v>
      </c>
      <c r="E8" s="7">
        <v>43505</v>
      </c>
      <c r="G8" s="5">
        <v>3001</v>
      </c>
      <c r="H8" s="8" t="str">
        <f t="shared" si="0"/>
        <v>Employee 7</v>
      </c>
      <c r="I8" s="8" t="e">
        <f t="shared" ca="1" si="1"/>
        <v>#NAME?</v>
      </c>
      <c r="J8" s="8">
        <f t="shared" si="2"/>
        <v>35960</v>
      </c>
    </row>
    <row r="9" spans="1:10" ht="15.75" customHeight="1" x14ac:dyDescent="0.25">
      <c r="A9" s="5">
        <v>3001</v>
      </c>
      <c r="B9" s="5" t="s">
        <v>56</v>
      </c>
      <c r="C9" s="5" t="s">
        <v>44</v>
      </c>
      <c r="D9" s="5">
        <v>91659</v>
      </c>
      <c r="E9" s="7">
        <v>43755</v>
      </c>
      <c r="G9" s="5">
        <v>3001</v>
      </c>
      <c r="H9" s="8" t="str">
        <f t="shared" si="0"/>
        <v>Employee 8</v>
      </c>
      <c r="I9" s="8" t="e">
        <f t="shared" ca="1" si="1"/>
        <v>#NAME?</v>
      </c>
      <c r="J9" s="8">
        <f t="shared" si="2"/>
        <v>91659</v>
      </c>
    </row>
    <row r="10" spans="1:10" ht="15.75" customHeight="1" x14ac:dyDescent="0.25">
      <c r="A10" s="5">
        <v>3001</v>
      </c>
      <c r="B10" s="5" t="s">
        <v>58</v>
      </c>
      <c r="C10" s="5" t="s">
        <v>44</v>
      </c>
      <c r="D10" s="5">
        <v>90423</v>
      </c>
      <c r="E10" s="7">
        <v>44005</v>
      </c>
      <c r="G10" s="5">
        <v>3001</v>
      </c>
      <c r="H10" s="8" t="str">
        <f t="shared" si="0"/>
        <v>Employee 9</v>
      </c>
      <c r="I10" s="8" t="e">
        <f t="shared" ca="1" si="1"/>
        <v>#NAME?</v>
      </c>
      <c r="J10" s="8">
        <f t="shared" si="2"/>
        <v>90423</v>
      </c>
    </row>
    <row r="11" spans="1:10" ht="15.75" customHeight="1" x14ac:dyDescent="0.25">
      <c r="A11" s="5">
        <v>3001</v>
      </c>
      <c r="B11" s="5" t="s">
        <v>60</v>
      </c>
      <c r="C11" s="5" t="s">
        <v>38</v>
      </c>
      <c r="D11" s="5">
        <v>107877</v>
      </c>
      <c r="E11" s="7">
        <v>44255</v>
      </c>
      <c r="G11" s="5">
        <v>3001</v>
      </c>
      <c r="H11" s="8" t="str">
        <f t="shared" si="0"/>
        <v>Employee 10</v>
      </c>
      <c r="I11" s="8" t="e">
        <f t="shared" ca="1" si="1"/>
        <v>#NAME?</v>
      </c>
      <c r="J11" s="8">
        <f t="shared" si="2"/>
        <v>107877</v>
      </c>
    </row>
    <row r="12" spans="1:10" ht="15.75" customHeight="1" x14ac:dyDescent="0.25">
      <c r="A12" s="5">
        <v>3001</v>
      </c>
      <c r="B12" s="5" t="s">
        <v>62</v>
      </c>
      <c r="C12" s="5" t="s">
        <v>35</v>
      </c>
      <c r="D12" s="5">
        <v>107634</v>
      </c>
      <c r="E12" s="7">
        <v>44505</v>
      </c>
      <c r="G12" s="5">
        <v>3001</v>
      </c>
      <c r="H12" s="8" t="str">
        <f t="shared" si="0"/>
        <v>Employee 11</v>
      </c>
      <c r="I12" s="8" t="e">
        <f t="shared" ca="1" si="1"/>
        <v>#NAME?</v>
      </c>
      <c r="J12" s="8">
        <f t="shared" si="2"/>
        <v>107634</v>
      </c>
    </row>
    <row r="13" spans="1:10" ht="15.75" customHeight="1" x14ac:dyDescent="0.25">
      <c r="A13" s="5">
        <v>3001</v>
      </c>
      <c r="B13" s="5" t="s">
        <v>68</v>
      </c>
      <c r="C13" s="5" t="s">
        <v>35</v>
      </c>
      <c r="D13" s="5">
        <v>35226</v>
      </c>
      <c r="E13" s="7">
        <v>44755</v>
      </c>
      <c r="G13" s="5">
        <v>3001</v>
      </c>
      <c r="H13" s="8" t="str">
        <f t="shared" si="0"/>
        <v>Employee 12</v>
      </c>
      <c r="I13" s="8" t="e">
        <f t="shared" ca="1" si="1"/>
        <v>#NAME?</v>
      </c>
      <c r="J13" s="8">
        <f t="shared" si="2"/>
        <v>35226</v>
      </c>
    </row>
    <row r="14" spans="1:10" ht="15.75" customHeight="1" x14ac:dyDescent="0.25">
      <c r="A14" s="5">
        <v>3001</v>
      </c>
      <c r="B14" s="5" t="s">
        <v>70</v>
      </c>
      <c r="C14" s="5" t="s">
        <v>38</v>
      </c>
      <c r="D14" s="5">
        <v>40872</v>
      </c>
      <c r="E14" s="7">
        <v>45005</v>
      </c>
      <c r="G14" s="5">
        <v>3001</v>
      </c>
      <c r="H14" s="8" t="str">
        <f t="shared" si="0"/>
        <v>Employee 13</v>
      </c>
      <c r="I14" s="8" t="e">
        <f t="shared" ca="1" si="1"/>
        <v>#NAME?</v>
      </c>
      <c r="J14" s="8">
        <f t="shared" si="2"/>
        <v>40872</v>
      </c>
    </row>
    <row r="15" spans="1:10" ht="15.75" customHeight="1" x14ac:dyDescent="0.25">
      <c r="A15" s="5">
        <v>3001</v>
      </c>
      <c r="B15" s="5" t="s">
        <v>74</v>
      </c>
      <c r="C15" s="5" t="s">
        <v>38</v>
      </c>
      <c r="D15" s="5">
        <v>55378</v>
      </c>
      <c r="E15" s="7">
        <v>45255</v>
      </c>
      <c r="G15" s="5">
        <v>3001</v>
      </c>
      <c r="H15" s="8" t="str">
        <f t="shared" si="0"/>
        <v>Employee 14</v>
      </c>
      <c r="I15" s="8" t="e">
        <f t="shared" ca="1" si="1"/>
        <v>#NAME?</v>
      </c>
      <c r="J15" s="8">
        <f t="shared" si="2"/>
        <v>55378</v>
      </c>
    </row>
    <row r="16" spans="1:10" ht="15.75" customHeight="1" x14ac:dyDescent="0.25">
      <c r="A16" s="5">
        <v>3001</v>
      </c>
      <c r="B16" s="5" t="s">
        <v>75</v>
      </c>
      <c r="C16" s="5" t="s">
        <v>38</v>
      </c>
      <c r="D16" s="5">
        <v>63297</v>
      </c>
      <c r="E16" s="7">
        <v>45505</v>
      </c>
      <c r="G16" s="5">
        <v>3001</v>
      </c>
      <c r="H16" s="8" t="str">
        <f t="shared" si="0"/>
        <v>Employee 15</v>
      </c>
      <c r="I16" s="8" t="e">
        <f t="shared" ca="1" si="1"/>
        <v>#NAME?</v>
      </c>
      <c r="J16" s="8">
        <f t="shared" si="2"/>
        <v>63297</v>
      </c>
    </row>
    <row r="17" spans="1:10" ht="15.75" customHeight="1" x14ac:dyDescent="0.25">
      <c r="A17" s="5">
        <v>3001</v>
      </c>
      <c r="B17" s="5" t="s">
        <v>78</v>
      </c>
      <c r="C17" s="5" t="s">
        <v>35</v>
      </c>
      <c r="D17" s="5">
        <v>114173</v>
      </c>
      <c r="E17" s="7">
        <v>45755</v>
      </c>
      <c r="G17" s="5">
        <v>3001</v>
      </c>
      <c r="H17" s="8" t="str">
        <f t="shared" si="0"/>
        <v>Employee 16</v>
      </c>
      <c r="I17" s="8" t="e">
        <f t="shared" ca="1" si="1"/>
        <v>#NAME?</v>
      </c>
      <c r="J17" s="8">
        <f t="shared" si="2"/>
        <v>114173</v>
      </c>
    </row>
    <row r="18" spans="1:10" ht="15.75" customHeight="1" x14ac:dyDescent="0.25">
      <c r="A18" s="5">
        <v>3001</v>
      </c>
      <c r="B18" s="5" t="s">
        <v>80</v>
      </c>
      <c r="C18" s="5" t="s">
        <v>38</v>
      </c>
      <c r="D18" s="5">
        <v>86915</v>
      </c>
      <c r="E18" s="7">
        <v>46005</v>
      </c>
      <c r="G18" s="5">
        <v>3001</v>
      </c>
      <c r="H18" s="8" t="str">
        <f t="shared" si="0"/>
        <v>Employee 17</v>
      </c>
      <c r="I18" s="8" t="e">
        <f t="shared" ca="1" si="1"/>
        <v>#NAME?</v>
      </c>
      <c r="J18" s="8">
        <f t="shared" si="2"/>
        <v>86915</v>
      </c>
    </row>
    <row r="19" spans="1:10" ht="15.75" customHeight="1" x14ac:dyDescent="0.25">
      <c r="A19" s="5">
        <v>3001</v>
      </c>
      <c r="B19" s="5" t="s">
        <v>83</v>
      </c>
      <c r="C19" s="5" t="s">
        <v>44</v>
      </c>
      <c r="D19" s="5">
        <v>116284</v>
      </c>
      <c r="E19" s="7">
        <v>46255</v>
      </c>
      <c r="G19" s="5">
        <v>3001</v>
      </c>
      <c r="H19" s="8" t="str">
        <f t="shared" si="0"/>
        <v>Employee 18</v>
      </c>
      <c r="I19" s="8" t="e">
        <f t="shared" ca="1" si="1"/>
        <v>#NAME?</v>
      </c>
      <c r="J19" s="8">
        <f t="shared" si="2"/>
        <v>116284</v>
      </c>
    </row>
    <row r="20" spans="1:10" ht="15.75" customHeight="1" x14ac:dyDescent="0.25">
      <c r="A20" s="5">
        <v>3001</v>
      </c>
      <c r="B20" s="5" t="s">
        <v>85</v>
      </c>
      <c r="C20" s="5" t="s">
        <v>50</v>
      </c>
      <c r="D20" s="5">
        <v>116283</v>
      </c>
      <c r="E20" s="7">
        <v>46505</v>
      </c>
      <c r="G20" s="5">
        <v>3001</v>
      </c>
      <c r="H20" s="8" t="str">
        <f t="shared" si="0"/>
        <v>Employee 19</v>
      </c>
      <c r="I20" s="8" t="e">
        <f t="shared" ca="1" si="1"/>
        <v>#NAME?</v>
      </c>
      <c r="J20" s="8">
        <f t="shared" si="2"/>
        <v>116283</v>
      </c>
    </row>
    <row r="21" spans="1:10" ht="15.75" customHeight="1" x14ac:dyDescent="0.25">
      <c r="A21" s="5">
        <v>3001</v>
      </c>
      <c r="B21" s="5" t="s">
        <v>88</v>
      </c>
      <c r="C21" s="5" t="s">
        <v>50</v>
      </c>
      <c r="D21" s="5">
        <v>99924</v>
      </c>
      <c r="E21" s="7">
        <v>46755</v>
      </c>
      <c r="G21" s="5">
        <v>3001</v>
      </c>
      <c r="H21" s="8" t="str">
        <f t="shared" si="0"/>
        <v>Employee 20</v>
      </c>
      <c r="I21" s="8" t="e">
        <f t="shared" ca="1" si="1"/>
        <v>#NAME?</v>
      </c>
      <c r="J21" s="8">
        <f t="shared" si="2"/>
        <v>99924</v>
      </c>
    </row>
    <row r="23" spans="1:10" x14ac:dyDescent="0.2">
      <c r="A23" s="29" t="s">
        <v>91</v>
      </c>
      <c r="B23" s="14"/>
      <c r="C23" s="14"/>
      <c r="D23" s="14"/>
      <c r="E23" s="14"/>
      <c r="F23" s="15"/>
    </row>
    <row r="24" spans="1:10" ht="12.75" x14ac:dyDescent="0.2">
      <c r="A24" s="19" t="s">
        <v>95</v>
      </c>
      <c r="B24" s="15"/>
      <c r="C24" s="19" t="s">
        <v>96</v>
      </c>
      <c r="D24" s="14"/>
      <c r="E24" s="14"/>
      <c r="F24" s="15"/>
    </row>
    <row r="25" spans="1:10" ht="12.75" x14ac:dyDescent="0.2">
      <c r="A25" s="16" t="s">
        <v>97</v>
      </c>
      <c r="B25" s="17"/>
      <c r="C25" s="16" t="s">
        <v>99</v>
      </c>
      <c r="D25" s="18"/>
      <c r="E25" s="18"/>
      <c r="F25" s="17"/>
    </row>
    <row r="26" spans="1:10" ht="12.75" x14ac:dyDescent="0.2">
      <c r="A26" s="20" t="s">
        <v>100</v>
      </c>
      <c r="B26" s="21"/>
      <c r="C26" s="20" t="s">
        <v>102</v>
      </c>
      <c r="D26" s="22"/>
      <c r="E26" s="22"/>
      <c r="F26" s="21"/>
    </row>
    <row r="27" spans="1:10" ht="12.75" x14ac:dyDescent="0.2">
      <c r="A27" s="23" t="s">
        <v>103</v>
      </c>
      <c r="B27" s="24"/>
      <c r="C27" s="23" t="s">
        <v>104</v>
      </c>
      <c r="D27" s="26"/>
      <c r="E27" s="26"/>
      <c r="F27" s="24"/>
    </row>
  </sheetData>
  <mergeCells count="10">
    <mergeCell ref="A27:B27"/>
    <mergeCell ref="C27:F27"/>
    <mergeCell ref="G1:H1"/>
    <mergeCell ref="A24:B24"/>
    <mergeCell ref="A23:F23"/>
    <mergeCell ref="C24:F24"/>
    <mergeCell ref="A25:B25"/>
    <mergeCell ref="C25:F25"/>
    <mergeCell ref="C26:F26"/>
    <mergeCell ref="A26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 Grade</vt:lpstr>
      <vt:lpstr>Sales Data</vt:lpstr>
      <vt:lpstr>Employee 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2026-09-24T10:53:22Z</dcterms:modified>
</cp:coreProperties>
</file>